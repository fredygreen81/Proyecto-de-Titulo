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pgonzalez\Downloads\"/>
    </mc:Choice>
  </mc:AlternateContent>
  <bookViews>
    <workbookView xWindow="0" yWindow="0" windowWidth="20490" windowHeight="762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<sst xmlns="http://schemas.openxmlformats.org/spreadsheetml/2006/main" count="81" uniqueCount="63">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</sst>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8">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theme="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7" fillId="7" borderId="1" xfId="0" applyFont="1" applyFill="1" applyBorder="1" applyAlignment="1">
      <alignment horizontal="center"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B1" zoomScaleNormal="100" workbookViewId="0">
      <selection activeCell="F20" activeCellId="1" sqref="G20 F20"/>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c r="C4" s="5">
        <f>EVALUACION2!$C$22</f>
        <v>7</v>
      </c>
      <c r="G4" s="1"/>
    </row>
    <row r="5" spans="1:11">
      <c r="A5" s="4">
        <v>2</v>
      </c>
      <c r="B5" s="25"/>
      <c r="C5" s="5">
        <f>EVALUACION2!$C$22</f>
        <v>7</v>
      </c>
      <c r="G5" s="1"/>
    </row>
    <row r="6" spans="1:11">
      <c r="A6" s="4">
        <v>3</v>
      </c>
      <c r="B6" s="25"/>
      <c r="C6" s="5">
        <f>EVALUACION2!$C$22</f>
        <v>7</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61" t="str">
        <f>IF(F13="X",60*0.1,"")</f>
        <v/>
      </c>
      <c r="H13" s="61" t="str">
        <f t="shared" ref="H13:H17" si="2">IF($C13=ML,"X","")</f>
        <v/>
      </c>
      <c r="I13" s="15" t="str">
        <f>IF(H13="X",30*0.1,"")</f>
        <v/>
      </c>
      <c r="J13" s="15" t="str">
        <f t="shared" ref="J13:J17" si="3">IF($C13=NL,"X","")</f>
        <v/>
      </c>
      <c r="K13" s="15" t="str">
        <f t="shared" ref="K13:K17" si="4">IF($J13="X",0,"")</f>
        <v/>
      </c>
    </row>
    <row r="14" spans="1:11" ht="26.45" customHeight="1" outlineLevel="1">
      <c r="A14" s="44"/>
      <c r="B14" s="28" t="str">
        <f>RUBRICA!A5</f>
        <v>2. Aplica una metodología que permite el logro de los objetivos propuestos, de acuerdo a los estándares de la disciplina.</v>
      </c>
      <c r="C14" s="26" t="s">
        <v>5</v>
      </c>
      <c r="D14" s="15" t="str">
        <f t="shared" si="0"/>
        <v>X</v>
      </c>
      <c r="E14" s="15">
        <f>IF(D14="X",100*0.1,"")</f>
        <v>10</v>
      </c>
      <c r="F14" s="61" t="str">
        <f t="shared" si="1"/>
        <v/>
      </c>
      <c r="G14" s="61" t="str">
        <f>IF(F14="X",60*0.1,"")</f>
        <v/>
      </c>
      <c r="H14" s="15" t="str">
        <f t="shared" si="2"/>
        <v/>
      </c>
      <c r="I14" s="15" t="str">
        <f>IF(H14="X",30*0.1,"")</f>
        <v/>
      </c>
      <c r="J14" s="15" t="str">
        <f t="shared" si="3"/>
        <v/>
      </c>
      <c r="K14" s="15" t="str">
        <f t="shared" si="4"/>
        <v/>
      </c>
    </row>
    <row r="15" spans="1:11" ht="48"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61" t="str">
        <f t="shared" si="2"/>
        <v/>
      </c>
      <c r="I15" s="61" t="str">
        <f>IF(H15="X",30*0.25,"")</f>
        <v/>
      </c>
      <c r="J15" s="15" t="str">
        <f t="shared" si="3"/>
        <v/>
      </c>
      <c r="K15" s="15" t="str">
        <f t="shared" si="4"/>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61" t="str">
        <f t="shared" si="1"/>
        <v/>
      </c>
      <c r="G16" s="61" t="str">
        <f>IF(F16="X",60*0.05,"")</f>
        <v/>
      </c>
      <c r="H16" s="15" t="str">
        <f t="shared" si="2"/>
        <v/>
      </c>
      <c r="I16" s="15" t="str">
        <f>IF(H16="X",30*0.05,"")</f>
        <v/>
      </c>
      <c r="J16" s="15" t="str">
        <f t="shared" si="3"/>
        <v/>
      </c>
      <c r="K16" s="15" t="str">
        <f t="shared" si="4"/>
        <v/>
      </c>
    </row>
    <row r="17" spans="1:11"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61" t="str">
        <f>IF(F17="X",60*0.05,"")</f>
        <v/>
      </c>
      <c r="H17" s="61" t="str">
        <f t="shared" si="2"/>
        <v/>
      </c>
      <c r="I17" s="15" t="str">
        <f>IF(H17="X",30*0.05,"")</f>
        <v/>
      </c>
      <c r="J17" s="15" t="str">
        <f t="shared" si="3"/>
        <v/>
      </c>
      <c r="K17" s="15" t="str">
        <f t="shared" si="4"/>
        <v/>
      </c>
    </row>
    <row r="18" spans="1:11" ht="36"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61" t="str">
        <f>IF($C18=ML,"X","")</f>
        <v/>
      </c>
      <c r="I18" s="61" t="str">
        <f>IF(H18="X",30*0.2,"")</f>
        <v/>
      </c>
      <c r="J18" s="15" t="str">
        <f>IF($C18=NL,"X","")</f>
        <v/>
      </c>
      <c r="K18" s="15" t="str">
        <f t="shared" ref="K18:K20" si="5">IF($J18="X",0,"")</f>
        <v/>
      </c>
    </row>
    <row r="19" spans="1:11" ht="36"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61" t="str">
        <f>IF(F19="X",60*0.15,"")</f>
        <v/>
      </c>
      <c r="H19" s="61" t="str">
        <f>IF($C19=ML,"X","")</f>
        <v/>
      </c>
      <c r="I19" s="15" t="str">
        <f>IF(H19="X",30*0.15,"")</f>
        <v/>
      </c>
      <c r="J19" s="15" t="str">
        <f>IF($C19=NL,"X","")</f>
        <v/>
      </c>
      <c r="K19" s="15" t="str">
        <f t="shared" si="5"/>
        <v/>
      </c>
    </row>
    <row r="20" spans="1:11" ht="36"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61" t="str">
        <f>IF($C20=L,"X","")</f>
        <v/>
      </c>
      <c r="G20" s="61" t="str">
        <f>IF(F20="X",60*0.1,"")</f>
        <v/>
      </c>
      <c r="H20" s="15" t="str">
        <f>IF($C20=ML,"X","")</f>
        <v/>
      </c>
      <c r="I20" s="15" t="str">
        <f>IF(H20="X",30*0.1,"")</f>
        <v/>
      </c>
      <c r="J20" s="15" t="str">
        <f>IF($C20=NL,"X","")</f>
        <v/>
      </c>
      <c r="K20" s="15" t="str">
        <f t="shared" si="5"/>
        <v/>
      </c>
    </row>
    <row r="21" spans="1:11" ht="15.75" customHeight="1" outlineLevel="1">
      <c r="A21" s="43"/>
      <c r="B21" s="27" t="s">
        <v>4</v>
      </c>
      <c r="C21" s="31">
        <f>E21+G21+I21+K21</f>
        <v>100</v>
      </c>
      <c r="D21" s="16"/>
      <c r="E21" s="16">
        <f>SUM(E13:E20)</f>
        <v>100</v>
      </c>
      <c r="F21" s="16"/>
      <c r="G21" s="16">
        <f>SUM(G13:G20)</f>
        <v>0</v>
      </c>
      <c r="H21" s="16"/>
      <c r="I21" s="16">
        <f>SUM(I13:I20)</f>
        <v>0</v>
      </c>
      <c r="J21" s="16"/>
      <c r="K21" s="16">
        <f>SUM(K13:K20)</f>
        <v>0</v>
      </c>
    </row>
    <row r="22" spans="1:11" ht="15.75" customHeight="1" outlineLevel="1">
      <c r="A22" s="45"/>
      <c r="B22" s="30" t="s">
        <v>13</v>
      </c>
      <c r="C22" s="17">
        <f>VLOOKUP(C21,ESCALA_IEP!A2:B202,2,FALSE)</f>
        <v>7</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7">
        <v>-0.3</v>
      </c>
      <c r="E3" s="37">
        <v>0</v>
      </c>
      <c r="F3" s="56"/>
    </row>
    <row r="4" spans="1:6" ht="51.75" thickBot="1">
      <c r="A4" s="40" t="s">
        <v>26</v>
      </c>
      <c r="B4" s="24" t="s">
        <v>27</v>
      </c>
      <c r="C4" s="24" t="s">
        <v>28</v>
      </c>
      <c r="D4" s="24" t="s">
        <v>29</v>
      </c>
      <c r="E4" s="24" t="s">
        <v>30</v>
      </c>
      <c r="F4" s="23">
        <v>10</v>
      </c>
    </row>
    <row r="5" spans="1:6" ht="51.75" thickBot="1">
      <c r="A5" s="40" t="s">
        <v>31</v>
      </c>
      <c r="B5" s="24" t="s">
        <v>42</v>
      </c>
      <c r="C5" s="24" t="s">
        <v>32</v>
      </c>
      <c r="D5" s="24" t="s">
        <v>33</v>
      </c>
      <c r="E5" s="24" t="s">
        <v>34</v>
      </c>
      <c r="F5" s="23">
        <v>10</v>
      </c>
    </row>
    <row r="6" spans="1:6" ht="90" thickBot="1">
      <c r="A6" s="40" t="s">
        <v>43</v>
      </c>
      <c r="B6" s="24" t="s">
        <v>44</v>
      </c>
      <c r="C6" s="24" t="s">
        <v>45</v>
      </c>
      <c r="D6" s="24" t="s">
        <v>46</v>
      </c>
      <c r="E6" s="24" t="s">
        <v>47</v>
      </c>
      <c r="F6" s="23">
        <v>25</v>
      </c>
    </row>
    <row r="7" spans="1:6" ht="39" thickBot="1">
      <c r="A7" s="40" t="s">
        <v>48</v>
      </c>
      <c r="B7" s="24" t="s">
        <v>49</v>
      </c>
      <c r="C7" s="24" t="s">
        <v>50</v>
      </c>
      <c r="D7" s="24" t="s">
        <v>51</v>
      </c>
      <c r="E7" s="24" t="s">
        <v>52</v>
      </c>
      <c r="F7" s="23">
        <v>5</v>
      </c>
    </row>
    <row r="8" spans="1:6" ht="51">
      <c r="A8" s="40" t="s">
        <v>35</v>
      </c>
      <c r="B8" s="24" t="s">
        <v>22</v>
      </c>
      <c r="C8" s="24" t="s">
        <v>19</v>
      </c>
      <c r="D8" s="24" t="s">
        <v>20</v>
      </c>
      <c r="E8" s="24" t="s">
        <v>21</v>
      </c>
      <c r="F8" s="38">
        <v>5</v>
      </c>
    </row>
    <row r="9" spans="1:6" ht="51.75" thickBot="1">
      <c r="A9" s="40" t="s">
        <v>53</v>
      </c>
      <c r="B9" s="24" t="s">
        <v>54</v>
      </c>
      <c r="C9" s="24" t="s">
        <v>55</v>
      </c>
      <c r="D9" s="24" t="s">
        <v>56</v>
      </c>
      <c r="E9" s="24" t="s">
        <v>57</v>
      </c>
      <c r="F9" s="23">
        <v>20</v>
      </c>
    </row>
    <row r="10" spans="1:6" ht="64.5"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Juan Gonzalez</cp:lastModifiedBy>
  <dcterms:created xsi:type="dcterms:W3CDTF">2023-08-07T04:08:01Z</dcterms:created>
  <dcterms:modified xsi:type="dcterms:W3CDTF">2025-10-30T12:42:53Z</dcterms:modified>
</cp:coreProperties>
</file>